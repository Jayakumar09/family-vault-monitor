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-LAND\MY HOUSE UPPILIAPURAM\"/>
    </mc:Choice>
  </mc:AlternateContent>
  <xr:revisionPtr revIDLastSave="0" documentId="13_ncr:1_{1C4A630D-DB90-4DD3-B4C6-FF247356DC7B}" xr6:coauthVersionLast="45" xr6:coauthVersionMax="45" xr10:uidLastSave="{00000000-0000-0000-0000-000000000000}"/>
  <bookViews>
    <workbookView xWindow="-120" yWindow="-120" windowWidth="20730" windowHeight="11160" xr2:uid="{59F5FAD9-1F30-48B4-9587-2C4EA7E5D1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" i="1" l="1"/>
  <c r="R23" i="1" s="1"/>
  <c r="K22" i="1"/>
  <c r="K21" i="1"/>
  <c r="K19" i="1"/>
  <c r="K15" i="1"/>
  <c r="K14" i="1"/>
  <c r="K12" i="1"/>
  <c r="K13" i="1"/>
  <c r="K10" i="1"/>
  <c r="K9" i="1"/>
  <c r="K6" i="1"/>
  <c r="K5" i="1"/>
  <c r="K3" i="1"/>
  <c r="F12" i="1"/>
  <c r="F11" i="1"/>
  <c r="F10" i="1"/>
  <c r="F13" i="1"/>
  <c r="F9" i="1"/>
  <c r="F5" i="1"/>
  <c r="F4" i="1"/>
  <c r="F18" i="1"/>
  <c r="F17" i="1"/>
  <c r="F21" i="1"/>
  <c r="F20" i="1"/>
  <c r="F19" i="1"/>
  <c r="F16" i="1"/>
  <c r="F15" i="1"/>
  <c r="F3" i="1"/>
  <c r="F6" i="1" s="1"/>
  <c r="F14" i="1" l="1"/>
</calcChain>
</file>

<file path=xl/sharedStrings.xml><?xml version="1.0" encoding="utf-8"?>
<sst xmlns="http://schemas.openxmlformats.org/spreadsheetml/2006/main" count="24" uniqueCount="17">
  <si>
    <t>portico ss</t>
  </si>
  <si>
    <t>gf</t>
  </si>
  <si>
    <t>ff</t>
  </si>
  <si>
    <t>sf</t>
  </si>
  <si>
    <t>floor area</t>
  </si>
  <si>
    <t>balcony</t>
  </si>
  <si>
    <t>rf</t>
  </si>
  <si>
    <t>marble slab in pooja room</t>
  </si>
  <si>
    <t>granite slab</t>
  </si>
  <si>
    <t>verified tiles</t>
  </si>
  <si>
    <t>marble tiles</t>
  </si>
  <si>
    <t>kitchen</t>
  </si>
  <si>
    <t>steps</t>
  </si>
  <si>
    <t>100mm dia SW pipeline and Specials</t>
  </si>
  <si>
    <t>compound wall length</t>
  </si>
  <si>
    <t>Septic tank </t>
  </si>
  <si>
    <t>Open area paved either with cement concrete or brick or stone slabs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</si>
</sst>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4B35-6C72-4BBD-B800-344A9B4D3866}">
  <dimension ref="B3:R23"/>
  <sheetViews>
    <sheetView tabSelected="1" topLeftCell="A3" workbookViewId="0">
      <selection activeCell="M11" sqref="M11"/>
    </sheetView>
  </sheetViews>
  <sheetFormatPr defaultRowHeight="15" x14ac:dyDescent="0.25"/>
  <cols>
    <col min="5" max="5" width="11" customWidth="1"/>
    <col min="8" max="8" width="24.42578125" bestFit="1" customWidth="1"/>
  </cols>
  <sheetData>
    <row r="3" spans="2:12" x14ac:dyDescent="0.25">
      <c r="B3" t="s">
        <v>4</v>
      </c>
      <c r="C3" t="s">
        <v>1</v>
      </c>
      <c r="D3">
        <v>36</v>
      </c>
      <c r="E3">
        <v>42</v>
      </c>
      <c r="F3">
        <f>D3*E3</f>
        <v>1512</v>
      </c>
      <c r="H3" t="s">
        <v>7</v>
      </c>
      <c r="I3">
        <v>6</v>
      </c>
      <c r="J3">
        <v>5.5</v>
      </c>
      <c r="K3">
        <f>I3*J3</f>
        <v>33</v>
      </c>
    </row>
    <row r="4" spans="2:12" x14ac:dyDescent="0.25">
      <c r="C4" t="s">
        <v>2</v>
      </c>
      <c r="D4">
        <v>36</v>
      </c>
      <c r="E4">
        <v>42</v>
      </c>
      <c r="F4">
        <f t="shared" ref="F4:F5" si="0">D4*E4</f>
        <v>1512</v>
      </c>
    </row>
    <row r="5" spans="2:12" x14ac:dyDescent="0.25">
      <c r="C5" t="s">
        <v>3</v>
      </c>
      <c r="D5">
        <v>36</v>
      </c>
      <c r="E5">
        <v>42</v>
      </c>
      <c r="F5">
        <f t="shared" si="0"/>
        <v>1512</v>
      </c>
      <c r="H5" t="s">
        <v>8</v>
      </c>
      <c r="I5">
        <v>10</v>
      </c>
      <c r="J5">
        <v>6.5</v>
      </c>
      <c r="K5">
        <f t="shared" ref="K5:K15" si="1">I5*J5</f>
        <v>65</v>
      </c>
      <c r="L5" t="s">
        <v>1</v>
      </c>
    </row>
    <row r="6" spans="2:12" x14ac:dyDescent="0.25">
      <c r="F6">
        <f>SUM(F3:F5)</f>
        <v>4536</v>
      </c>
      <c r="I6">
        <v>10</v>
      </c>
      <c r="J6">
        <v>6.5</v>
      </c>
      <c r="K6">
        <f t="shared" si="1"/>
        <v>65</v>
      </c>
      <c r="L6" t="s">
        <v>2</v>
      </c>
    </row>
    <row r="9" spans="2:12" x14ac:dyDescent="0.25">
      <c r="B9" t="s">
        <v>5</v>
      </c>
      <c r="C9" t="s">
        <v>1</v>
      </c>
      <c r="D9">
        <v>17</v>
      </c>
      <c r="E9">
        <v>10</v>
      </c>
      <c r="F9">
        <f t="shared" ref="F9" si="2">D9*E9</f>
        <v>170</v>
      </c>
      <c r="H9" t="s">
        <v>9</v>
      </c>
      <c r="I9">
        <v>36</v>
      </c>
      <c r="J9">
        <v>42</v>
      </c>
      <c r="K9">
        <f t="shared" si="1"/>
        <v>1512</v>
      </c>
    </row>
    <row r="10" spans="2:12" x14ac:dyDescent="0.25">
      <c r="D10">
        <v>42</v>
      </c>
      <c r="E10">
        <v>3</v>
      </c>
      <c r="F10">
        <f t="shared" ref="F10:F12" si="3">D10*E10</f>
        <v>126</v>
      </c>
      <c r="I10">
        <v>36</v>
      </c>
      <c r="J10">
        <v>42</v>
      </c>
      <c r="K10">
        <f t="shared" si="1"/>
        <v>1512</v>
      </c>
    </row>
    <row r="11" spans="2:12" x14ac:dyDescent="0.25">
      <c r="C11" t="s">
        <v>2</v>
      </c>
      <c r="D11">
        <v>17</v>
      </c>
      <c r="E11">
        <v>10</v>
      </c>
      <c r="F11">
        <f t="shared" si="3"/>
        <v>170</v>
      </c>
    </row>
    <row r="12" spans="2:12" x14ac:dyDescent="0.25">
      <c r="D12">
        <v>42</v>
      </c>
      <c r="E12">
        <v>3</v>
      </c>
      <c r="F12">
        <f t="shared" si="3"/>
        <v>126</v>
      </c>
      <c r="H12" t="s">
        <v>10</v>
      </c>
      <c r="I12">
        <v>36</v>
      </c>
      <c r="J12">
        <v>5.5</v>
      </c>
      <c r="K12">
        <f t="shared" si="1"/>
        <v>198</v>
      </c>
      <c r="L12" t="s">
        <v>12</v>
      </c>
    </row>
    <row r="13" spans="2:12" x14ac:dyDescent="0.25">
      <c r="C13" t="s">
        <v>6</v>
      </c>
      <c r="D13">
        <v>12</v>
      </c>
      <c r="E13">
        <v>2.5</v>
      </c>
      <c r="F13">
        <f t="shared" ref="F13" si="4">D13*E13</f>
        <v>30</v>
      </c>
      <c r="I13">
        <v>36</v>
      </c>
      <c r="J13">
        <v>5.5</v>
      </c>
      <c r="K13">
        <f t="shared" si="1"/>
        <v>198</v>
      </c>
    </row>
    <row r="14" spans="2:12" x14ac:dyDescent="0.25">
      <c r="F14">
        <f>SUM(F9:F13)</f>
        <v>622</v>
      </c>
      <c r="I14">
        <v>17</v>
      </c>
      <c r="J14">
        <v>10</v>
      </c>
      <c r="K14">
        <f t="shared" si="1"/>
        <v>170</v>
      </c>
      <c r="L14" t="s">
        <v>11</v>
      </c>
    </row>
    <row r="15" spans="2:12" x14ac:dyDescent="0.25">
      <c r="F15">
        <f t="shared" ref="F15:F21" si="5">D15*E15</f>
        <v>0</v>
      </c>
      <c r="I15">
        <v>17</v>
      </c>
      <c r="J15">
        <v>10</v>
      </c>
      <c r="K15">
        <f t="shared" si="1"/>
        <v>170</v>
      </c>
    </row>
    <row r="16" spans="2:12" x14ac:dyDescent="0.25">
      <c r="B16" t="s">
        <v>0</v>
      </c>
      <c r="C16" t="s">
        <v>1</v>
      </c>
      <c r="D16">
        <v>12</v>
      </c>
      <c r="E16">
        <v>17</v>
      </c>
      <c r="F16">
        <f t="shared" si="5"/>
        <v>204</v>
      </c>
    </row>
    <row r="17" spans="3:18" x14ac:dyDescent="0.25">
      <c r="C17" t="s">
        <v>2</v>
      </c>
      <c r="D17">
        <v>12</v>
      </c>
      <c r="E17">
        <v>17</v>
      </c>
      <c r="F17">
        <f t="shared" ref="F17" si="6">D17*E17</f>
        <v>204</v>
      </c>
    </row>
    <row r="18" spans="3:18" x14ac:dyDescent="0.25">
      <c r="C18" t="s">
        <v>3</v>
      </c>
      <c r="D18">
        <v>12</v>
      </c>
      <c r="E18">
        <v>17</v>
      </c>
      <c r="F18">
        <f t="shared" ref="F18" si="7">D18*E18</f>
        <v>204</v>
      </c>
    </row>
    <row r="19" spans="3:18" x14ac:dyDescent="0.25">
      <c r="F19">
        <f t="shared" si="5"/>
        <v>0</v>
      </c>
      <c r="H19" s="1" t="s">
        <v>13</v>
      </c>
      <c r="K19">
        <f>42+36+42</f>
        <v>120</v>
      </c>
    </row>
    <row r="20" spans="3:18" x14ac:dyDescent="0.25">
      <c r="F20">
        <f t="shared" si="5"/>
        <v>0</v>
      </c>
    </row>
    <row r="21" spans="3:18" x14ac:dyDescent="0.25">
      <c r="F21">
        <f t="shared" si="5"/>
        <v>0</v>
      </c>
      <c r="H21" t="s">
        <v>14</v>
      </c>
      <c r="K21">
        <f>36+36</f>
        <v>72</v>
      </c>
    </row>
    <row r="22" spans="3:18" x14ac:dyDescent="0.25">
      <c r="H22" s="1" t="s">
        <v>15</v>
      </c>
      <c r="K22">
        <f>10*15*10</f>
        <v>1500</v>
      </c>
    </row>
    <row r="23" spans="3:18" x14ac:dyDescent="0.25">
      <c r="H23" s="1" t="s">
        <v>16</v>
      </c>
      <c r="N23">
        <v>1512</v>
      </c>
      <c r="O23">
        <f>170+65</f>
        <v>235</v>
      </c>
      <c r="P23">
        <v>170</v>
      </c>
      <c r="Q23">
        <v>170</v>
      </c>
      <c r="R23">
        <f>SUM(N23:Q23)</f>
        <v>2087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2021-01-24T03:54:25Z</dcterms:created>
  <dcterms:modified xsi:type="dcterms:W3CDTF">2021-01-24T06:01:59Z</dcterms:modified>
</cp:coreProperties>
</file>